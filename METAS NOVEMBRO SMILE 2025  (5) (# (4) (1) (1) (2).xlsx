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yll\Downloads\"/>
    </mc:Choice>
  </mc:AlternateContent>
  <xr:revisionPtr revIDLastSave="0" documentId="8_{FAD94460-BC5B-4EDF-B9DF-812192D263E9}" xr6:coauthVersionLast="47" xr6:coauthVersionMax="47" xr10:uidLastSave="{00000000-0000-0000-0000-000000000000}"/>
  <bookViews>
    <workbookView xWindow="-110" yWindow="-110" windowWidth="19420" windowHeight="10300" xr2:uid="{F009F41A-E6D0-44E2-A36B-D0FA339FC38F}"/>
  </bookViews>
  <sheets>
    <sheet name="Planilha1" sheetId="4" r:id="rId1"/>
    <sheet name="Planilha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D8" i="4"/>
  <c r="D9" i="4"/>
  <c r="D6" i="4"/>
  <c r="E6" i="4" l="1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D10" i="4"/>
  <c r="E9" i="4"/>
  <c r="E8" i="4"/>
  <c r="E7" i="4"/>
  <c r="E10" i="4" l="1"/>
  <c r="C16" i="4" l="1"/>
  <c r="F15" i="4" l="1"/>
  <c r="C24" i="4" l="1"/>
  <c r="D12" i="4"/>
  <c r="E12" i="4"/>
  <c r="D13" i="4"/>
  <c r="E13" i="4"/>
  <c r="E16" i="4" l="1"/>
  <c r="E15" i="4"/>
  <c r="D16" i="4" l="1"/>
  <c r="H16" i="4" l="1"/>
  <c r="L16" i="4"/>
  <c r="P16" i="4"/>
  <c r="T16" i="4"/>
  <c r="X16" i="4"/>
  <c r="AB16" i="4"/>
  <c r="AF16" i="4"/>
  <c r="M16" i="4"/>
  <c r="Q16" i="4"/>
  <c r="U16" i="4"/>
  <c r="Y16" i="4"/>
  <c r="AC16" i="4"/>
  <c r="AG16" i="4"/>
  <c r="N16" i="4"/>
  <c r="R16" i="4"/>
  <c r="V16" i="4"/>
  <c r="Z16" i="4"/>
  <c r="AD16" i="4"/>
  <c r="AH16" i="4"/>
  <c r="K16" i="4"/>
  <c r="S16" i="4"/>
  <c r="W16" i="4"/>
  <c r="AE16" i="4"/>
  <c r="I16" i="4"/>
  <c r="J16" i="4"/>
  <c r="G16" i="4"/>
  <c r="O16" i="4"/>
  <c r="AA16" i="4"/>
  <c r="AI16" i="4"/>
  <c r="AK16" i="4"/>
  <c r="AL16" i="4"/>
  <c r="AJ16" i="4"/>
  <c r="F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Smylle Concept</author>
    <author>Poly</author>
  </authors>
  <commentList>
    <comment ref="X7" authorId="0" shapeId="0" xr:uid="{19729C7E-97CF-45C2-AF13-63337EBD790D}">
      <text>
        <r>
          <rPr>
            <b/>
            <sz val="9"/>
            <color indexed="81"/>
            <rFont val="Segoe UI"/>
            <charset val="1"/>
          </rPr>
          <t>Smylle Concept:</t>
        </r>
        <r>
          <rPr>
            <sz val="9"/>
            <color indexed="81"/>
            <rFont val="Segoe UI"/>
            <charset val="1"/>
          </rPr>
          <t xml:space="preserve">
inclui 300,00 e 500,00 de pacientes que pagaram e não foi dado baixa </t>
        </r>
      </text>
    </comment>
    <comment ref="C8" authorId="1" shapeId="0" xr:uid="{35342E6B-4E25-46B0-8B6D-86C4FCDD8900}">
      <text>
        <r>
          <rPr>
            <b/>
            <sz val="9"/>
            <color indexed="81"/>
            <rFont val="Segoe UI"/>
            <family val="2"/>
          </rPr>
          <t xml:space="preserve">receber 100%
 EM ABERTO NO SISTEMA
</t>
        </r>
      </text>
    </comment>
    <comment ref="H9" authorId="0" shapeId="0" xr:uid="{909083B6-AF6C-4ADB-9BE9-35107FBFFDFA}">
      <text>
        <r>
          <rPr>
            <b/>
            <sz val="9"/>
            <color indexed="81"/>
            <rFont val="Segoe UI"/>
            <charset val="1"/>
          </rPr>
          <t>Smylle Concept:</t>
        </r>
        <r>
          <rPr>
            <sz val="9"/>
            <color indexed="81"/>
            <rFont val="Segoe UI"/>
            <charset val="1"/>
          </rPr>
          <t xml:space="preserve">
inclui manuteção ortopédica</t>
        </r>
      </text>
    </comment>
    <comment ref="J9" authorId="0" shapeId="0" xr:uid="{37823CEC-3142-4001-8840-E9E9CE5C0882}">
      <text>
        <r>
          <rPr>
            <b/>
            <sz val="9"/>
            <color indexed="81"/>
            <rFont val="Segoe UI"/>
            <charset val="1"/>
          </rPr>
          <t>Smylle Concept:</t>
        </r>
        <r>
          <rPr>
            <sz val="9"/>
            <color indexed="81"/>
            <rFont val="Segoe UI"/>
            <charset val="1"/>
          </rPr>
          <t xml:space="preserve">
inclui manutenção de contenção</t>
        </r>
      </text>
    </comment>
    <comment ref="Q9" authorId="0" shapeId="0" xr:uid="{41EB7D15-7976-4935-B142-659B9A8A36F6}">
      <text>
        <r>
          <rPr>
            <b/>
            <sz val="9"/>
            <color indexed="81"/>
            <rFont val="Segoe UI"/>
            <charset val="1"/>
          </rPr>
          <t>Smylle Concept:</t>
        </r>
        <r>
          <rPr>
            <sz val="9"/>
            <color indexed="81"/>
            <rFont val="Segoe UI"/>
            <charset val="1"/>
          </rPr>
          <t xml:space="preserve">
1 manutenção de contenção 25,00</t>
        </r>
      </text>
    </comment>
    <comment ref="R9" authorId="0" shapeId="0" xr:uid="{9CDE43AF-C5C7-4CF5-986D-15451A42C46E}">
      <text>
        <r>
          <rPr>
            <b/>
            <sz val="9"/>
            <color indexed="81"/>
            <rFont val="Segoe UI"/>
            <charset val="1"/>
          </rPr>
          <t>Smylle Concept:</t>
        </r>
        <r>
          <rPr>
            <sz val="9"/>
            <color indexed="81"/>
            <rFont val="Segoe UI"/>
            <charset val="1"/>
          </rPr>
          <t xml:space="preserve">
1 manutenção 80,00</t>
        </r>
      </text>
    </comment>
    <comment ref="V9" authorId="0" shapeId="0" xr:uid="{8DD7BF80-83A7-4211-B1D2-919BE52F8C8F}">
      <text>
        <r>
          <rPr>
            <b/>
            <sz val="9"/>
            <color indexed="81"/>
            <rFont val="Segoe UI"/>
            <charset val="1"/>
          </rPr>
          <t>Smylle Concept:</t>
        </r>
        <r>
          <rPr>
            <sz val="9"/>
            <color indexed="81"/>
            <rFont val="Segoe UI"/>
            <charset val="1"/>
          </rPr>
          <t xml:space="preserve">
manutenção no valor de 100,00</t>
        </r>
      </text>
    </comment>
    <comment ref="W9" authorId="0" shapeId="0" xr:uid="{BAA3EC8C-D491-4A4C-8B2C-24FBDAFE8E4E}">
      <text>
        <r>
          <rPr>
            <b/>
            <sz val="9"/>
            <color indexed="81"/>
            <rFont val="Segoe UI"/>
            <charset val="1"/>
          </rPr>
          <t>Smylle Concept:</t>
        </r>
        <r>
          <rPr>
            <sz val="9"/>
            <color indexed="81"/>
            <rFont val="Segoe UI"/>
            <charset val="1"/>
          </rPr>
          <t xml:space="preserve">
incluindo manutenção de 100,00 e 50,23</t>
        </r>
      </text>
    </comment>
    <comment ref="AG9" authorId="0" shapeId="0" xr:uid="{62536E50-CCFB-4A75-90B4-424247184D83}">
      <text>
        <r>
          <rPr>
            <b/>
            <sz val="9"/>
            <color indexed="81"/>
            <rFont val="Segoe UI"/>
            <charset val="1"/>
          </rPr>
          <t>Smylle Concept:</t>
        </r>
        <r>
          <rPr>
            <sz val="9"/>
            <color indexed="81"/>
            <rFont val="Segoe UI"/>
            <charset val="1"/>
          </rPr>
          <t xml:space="preserve">
Manutenção de 100,00</t>
        </r>
      </text>
    </comment>
  </commentList>
</comments>
</file>

<file path=xl/sharedStrings.xml><?xml version="1.0" encoding="utf-8"?>
<sst xmlns="http://schemas.openxmlformats.org/spreadsheetml/2006/main" count="20" uniqueCount="16">
  <si>
    <t>COBRANÇA</t>
  </si>
  <si>
    <t>PARTICULAR</t>
  </si>
  <si>
    <t>META</t>
  </si>
  <si>
    <t>DIA</t>
  </si>
  <si>
    <t xml:space="preserve">VENDA A VISTA </t>
  </si>
  <si>
    <t xml:space="preserve">VENDA </t>
  </si>
  <si>
    <t xml:space="preserve">RECEBIMENTO ORTO </t>
  </si>
  <si>
    <t>RECEBIMENTO TOTAL MÊS</t>
  </si>
  <si>
    <t>ACUMULADO MÊS</t>
  </si>
  <si>
    <t>RECEBIMENTO PARTICULAR CREDIÁRIO</t>
  </si>
  <si>
    <t xml:space="preserve">N° DE ORÇAMENTOS </t>
  </si>
  <si>
    <t>ORTOS COM PGTO</t>
  </si>
  <si>
    <t>INSTALAÇÃO DE APARELHO</t>
  </si>
  <si>
    <t>CONVERSÃO ORÇAMENTISTA</t>
  </si>
  <si>
    <t>METAS SMILE NOVEMBRO 2025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</si>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</sst>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Segoe UI"/>
      <family val="2"/>
    </font>
    <font>
      <sz val="10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center"/>
    </xf>
    <xf numFmtId="0" fontId="0" fillId="0" borderId="6" xfId="0" applyBorder="1"/>
    <xf numFmtId="44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0" xfId="0" applyNumberFormat="1"/>
    <xf numFmtId="8" fontId="0" fillId="0" borderId="0" xfId="0" applyNumberFormat="1"/>
    <xf numFmtId="0" fontId="0" fillId="0" borderId="3" xfId="0" applyBorder="1" applyAlignment="1">
      <alignment horizontal="center" vertical="center"/>
    </xf>
    <xf numFmtId="43" fontId="0" fillId="0" borderId="6" xfId="1" applyFont="1" applyBorder="1" applyAlignment="1">
      <alignment horizontal="center"/>
    </xf>
    <xf numFmtId="43" fontId="0" fillId="0" borderId="6" xfId="1" applyFont="1" applyFill="1" applyBorder="1" applyAlignment="1">
      <alignment horizontal="center"/>
    </xf>
    <xf numFmtId="43" fontId="0" fillId="0" borderId="6" xfId="1" applyFont="1" applyFill="1" applyBorder="1"/>
    <xf numFmtId="0" fontId="1" fillId="3" borderId="6" xfId="0" applyFont="1" applyFill="1" applyBorder="1" applyAlignment="1">
      <alignment horizontal="center"/>
    </xf>
    <xf numFmtId="9" fontId="1" fillId="0" borderId="6" xfId="0" applyNumberFormat="1" applyFont="1" applyBorder="1" applyAlignment="1">
      <alignment horizontal="center"/>
    </xf>
    <xf numFmtId="0" fontId="1" fillId="3" borderId="6" xfId="0" applyFont="1" applyFill="1" applyBorder="1"/>
    <xf numFmtId="0" fontId="1" fillId="3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8" fontId="1" fillId="3" borderId="6" xfId="0" applyNumberFormat="1" applyFont="1" applyFill="1" applyBorder="1" applyAlignment="1">
      <alignment horizontal="center"/>
    </xf>
    <xf numFmtId="4" fontId="0" fillId="0" borderId="6" xfId="0" applyNumberFormat="1" applyBorder="1"/>
    <xf numFmtId="3" fontId="0" fillId="0" borderId="6" xfId="0" applyNumberFormat="1" applyBorder="1"/>
    <xf numFmtId="0" fontId="1" fillId="4" borderId="3" xfId="0" applyFont="1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" fontId="0" fillId="4" borderId="7" xfId="0" applyNumberFormat="1" applyFill="1" applyBorder="1"/>
    <xf numFmtId="0" fontId="1" fillId="4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44" fontId="8" fillId="6" borderId="9" xfId="2" applyFont="1" applyFill="1" applyBorder="1"/>
    <xf numFmtId="43" fontId="6" fillId="0" borderId="6" xfId="1" applyFont="1" applyFill="1" applyBorder="1" applyAlignment="1">
      <alignment horizontal="center"/>
    </xf>
    <xf numFmtId="43" fontId="6" fillId="0" borderId="6" xfId="1" applyFont="1" applyFill="1" applyBorder="1"/>
    <xf numFmtId="43" fontId="5" fillId="0" borderId="6" xfId="1" applyFont="1" applyFill="1" applyBorder="1"/>
    <xf numFmtId="0" fontId="5" fillId="0" borderId="6" xfId="0" applyFont="1" applyBorder="1"/>
    <xf numFmtId="43" fontId="0" fillId="7" borderId="6" xfId="1" applyFont="1" applyFill="1" applyBorder="1" applyAlignment="1">
      <alignment horizontal="center"/>
    </xf>
    <xf numFmtId="43" fontId="0" fillId="7" borderId="6" xfId="1" applyFont="1" applyFill="1" applyBorder="1"/>
    <xf numFmtId="16" fontId="0" fillId="7" borderId="7" xfId="0" applyNumberFormat="1" applyFill="1" applyBorder="1"/>
    <xf numFmtId="0" fontId="0" fillId="7" borderId="6" xfId="0" applyFill="1" applyBorder="1"/>
    <xf numFmtId="44" fontId="0" fillId="7" borderId="6" xfId="0" applyNumberFormat="1" applyFill="1" applyBorder="1" applyAlignment="1">
      <alignment horizontal="center"/>
    </xf>
    <xf numFmtId="4" fontId="0" fillId="7" borderId="6" xfId="0" applyNumberFormat="1" applyFill="1" applyBorder="1"/>
    <xf numFmtId="3" fontId="0" fillId="7" borderId="6" xfId="0" applyNumberFormat="1" applyFill="1" applyBorder="1"/>
    <xf numFmtId="0" fontId="3" fillId="0" borderId="6" xfId="0" applyFont="1" applyBorder="1" applyAlignment="1">
      <alignment vertical="center"/>
    </xf>
    <xf numFmtId="0" fontId="4" fillId="0" borderId="6" xfId="0" applyFont="1" applyBorder="1"/>
    <xf numFmtId="44" fontId="0" fillId="7" borderId="6" xfId="0" applyNumberFormat="1" applyFill="1" applyBorder="1" applyAlignment="1">
      <alignment horizontal="center" vertical="center"/>
    </xf>
    <xf numFmtId="0" fontId="1" fillId="7" borderId="6" xfId="0" applyFont="1" applyFill="1" applyBorder="1" applyAlignment="1">
      <alignment vertical="center"/>
    </xf>
    <xf numFmtId="43" fontId="0" fillId="8" borderId="6" xfId="1" applyFont="1" applyFill="1" applyBorder="1" applyAlignment="1">
      <alignment horizontal="center"/>
    </xf>
    <xf numFmtId="43" fontId="0" fillId="8" borderId="6" xfId="1" applyFont="1" applyFill="1" applyBorder="1"/>
    <xf numFmtId="16" fontId="0" fillId="8" borderId="7" xfId="0" applyNumberFormat="1" applyFill="1" applyBorder="1"/>
    <xf numFmtId="0" fontId="0" fillId="8" borderId="6" xfId="0" applyFill="1" applyBorder="1"/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28575</xdr:rowOff>
    </xdr:from>
    <xdr:to>
      <xdr:col>0</xdr:col>
      <xdr:colOff>1962151</xdr:colOff>
      <xdr:row>3</xdr:row>
      <xdr:rowOff>183222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01681D3-B322-4FA0-B013-304E14215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8575"/>
          <a:ext cx="1962150" cy="742022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17</xdr:row>
      <xdr:rowOff>152401</xdr:rowOff>
    </xdr:from>
    <xdr:to>
      <xdr:col>10</xdr:col>
      <xdr:colOff>170159</xdr:colOff>
      <xdr:row>25</xdr:row>
      <xdr:rowOff>38101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2A195ED-5DDB-483E-90FE-C54C9DD58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6551" y="3419476"/>
          <a:ext cx="4551658" cy="140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5620-13ED-4FD9-86F5-9E460ED11FF4}">
  <dimension ref="A1:AL24"/>
  <sheetViews>
    <sheetView tabSelected="1" workbookViewId="0">
      <pane xSplit="5" ySplit="10" topLeftCell="AE11" activePane="bottomRight" state="frozen"/>
      <selection pane="topRight" activeCell="F1" sqref="F1"/>
      <selection pane="bottomLeft" activeCell="A11" sqref="A11"/>
      <selection pane="bottomRight" activeCell="AH10" sqref="AH10"/>
    </sheetView>
  </sheetViews>
  <sheetFormatPr defaultRowHeight="14.5" x14ac:dyDescent="0.35"/>
  <cols>
    <col min="1" max="1" width="38.1796875" bestFit="1" customWidth="1"/>
    <col min="2" max="2" width="11.7265625" bestFit="1" customWidth="1"/>
    <col min="3" max="3" width="21.7265625" bestFit="1" customWidth="1"/>
    <col min="4" max="4" width="10.7265625" bestFit="1" customWidth="1"/>
    <col min="5" max="5" width="16.81640625" bestFit="1" customWidth="1"/>
    <col min="6" max="6" width="13.453125" bestFit="1" customWidth="1"/>
    <col min="7" max="7" width="12.26953125" bestFit="1" customWidth="1"/>
    <col min="8" max="8" width="14.1796875" customWidth="1"/>
    <col min="9" max="9" width="13.26953125" bestFit="1" customWidth="1"/>
    <col min="10" max="10" width="13.7265625" bestFit="1" customWidth="1"/>
    <col min="11" max="12" width="12.1796875" bestFit="1" customWidth="1"/>
    <col min="13" max="13" width="17.1796875" customWidth="1"/>
    <col min="14" max="14" width="17.7265625" customWidth="1"/>
    <col min="15" max="15" width="16.453125" customWidth="1"/>
    <col min="16" max="16" width="13" customWidth="1"/>
    <col min="17" max="17" width="13.26953125" customWidth="1"/>
    <col min="18" max="18" width="12.1796875" bestFit="1" customWidth="1"/>
    <col min="19" max="20" width="14.26953125" customWidth="1"/>
    <col min="21" max="21" width="14.7265625" customWidth="1"/>
    <col min="22" max="22" width="13.81640625" customWidth="1"/>
    <col min="23" max="23" width="12.81640625" customWidth="1"/>
    <col min="24" max="24" width="13.26953125" bestFit="1" customWidth="1"/>
    <col min="25" max="25" width="16.1796875" bestFit="1" customWidth="1"/>
    <col min="26" max="26" width="13.7265625" customWidth="1"/>
    <col min="27" max="27" width="16.453125" customWidth="1"/>
    <col min="28" max="28" width="15.26953125" customWidth="1"/>
    <col min="29" max="29" width="12.7265625" customWidth="1"/>
    <col min="30" max="30" width="12.1796875" bestFit="1" customWidth="1"/>
    <col min="31" max="31" width="13.7265625" customWidth="1"/>
    <col min="32" max="32" width="12.1796875" bestFit="1" customWidth="1"/>
    <col min="33" max="34" width="12.1796875" customWidth="1"/>
    <col min="35" max="35" width="14.26953125" customWidth="1"/>
    <col min="36" max="36" width="11.453125" hidden="1" customWidth="1"/>
    <col min="37" max="37" width="12.1796875" hidden="1" customWidth="1"/>
    <col min="38" max="38" width="11.453125" hidden="1" customWidth="1"/>
  </cols>
  <sheetData>
    <row r="1" spans="1:38" ht="15" thickTop="1" x14ac:dyDescent="0.35">
      <c r="A1" s="49" t="s">
        <v>14</v>
      </c>
      <c r="B1" s="50"/>
      <c r="C1" s="50"/>
      <c r="D1" s="50"/>
      <c r="E1" s="50"/>
      <c r="F1" s="3"/>
      <c r="G1" s="3"/>
      <c r="H1" s="3"/>
      <c r="I1" s="3"/>
      <c r="J1" s="3"/>
      <c r="K1" s="3"/>
      <c r="L1" s="3"/>
      <c r="M1" s="3"/>
    </row>
    <row r="2" spans="1:38" x14ac:dyDescent="0.35">
      <c r="A2" s="51"/>
      <c r="B2" s="52"/>
      <c r="C2" s="52"/>
      <c r="D2" s="52"/>
      <c r="E2" s="52"/>
      <c r="F2" s="3"/>
      <c r="G2" s="3"/>
      <c r="H2" s="3"/>
      <c r="I2" s="3"/>
      <c r="J2" s="3"/>
      <c r="K2" s="3"/>
      <c r="L2" s="3"/>
      <c r="M2" s="3"/>
    </row>
    <row r="3" spans="1:38" x14ac:dyDescent="0.35">
      <c r="A3" s="51"/>
      <c r="B3" s="52"/>
      <c r="C3" s="52"/>
      <c r="D3" s="52"/>
      <c r="E3" s="52"/>
      <c r="F3" s="3"/>
      <c r="G3" s="3"/>
      <c r="H3" s="3"/>
      <c r="I3" s="3"/>
      <c r="J3" s="3"/>
      <c r="K3" s="3"/>
      <c r="L3" s="3"/>
      <c r="M3" s="3"/>
    </row>
    <row r="4" spans="1:38" x14ac:dyDescent="0.35">
      <c r="A4" s="51"/>
      <c r="B4" s="52"/>
      <c r="C4" s="52"/>
      <c r="D4" s="52"/>
      <c r="E4" s="52"/>
      <c r="F4" s="3"/>
      <c r="G4" s="3"/>
      <c r="H4" s="3"/>
      <c r="I4" s="3"/>
      <c r="J4" s="3"/>
      <c r="K4" s="3"/>
      <c r="L4" s="3"/>
      <c r="M4" s="3"/>
    </row>
    <row r="5" spans="1:38" x14ac:dyDescent="0.35">
      <c r="A5" s="22" t="s">
        <v>15</v>
      </c>
      <c r="B5" s="23"/>
      <c r="C5" s="24" t="s">
        <v>2</v>
      </c>
      <c r="D5" s="24" t="s">
        <v>3</v>
      </c>
      <c r="E5" s="24" t="s">
        <v>8</v>
      </c>
      <c r="F5" s="25">
        <v>45962</v>
      </c>
      <c r="G5" s="25">
        <v>45963</v>
      </c>
      <c r="H5" s="25">
        <v>45964</v>
      </c>
      <c r="I5" s="25">
        <v>45965</v>
      </c>
      <c r="J5" s="25">
        <v>45966</v>
      </c>
      <c r="K5" s="25">
        <v>45967</v>
      </c>
      <c r="L5" s="25">
        <v>45968</v>
      </c>
      <c r="M5" s="25">
        <v>45969</v>
      </c>
      <c r="N5" s="25">
        <v>45970</v>
      </c>
      <c r="O5" s="25">
        <v>45971</v>
      </c>
      <c r="P5" s="25">
        <v>45972</v>
      </c>
      <c r="Q5" s="25">
        <v>45973</v>
      </c>
      <c r="R5" s="25">
        <v>45974</v>
      </c>
      <c r="S5" s="25">
        <v>45975</v>
      </c>
      <c r="T5" s="25">
        <v>45976</v>
      </c>
      <c r="U5" s="25">
        <v>45977</v>
      </c>
      <c r="V5" s="25">
        <v>45978</v>
      </c>
      <c r="W5" s="25">
        <v>45979</v>
      </c>
      <c r="X5" s="25">
        <v>45980</v>
      </c>
      <c r="Y5" s="25">
        <v>45981</v>
      </c>
      <c r="Z5" s="25">
        <v>45982</v>
      </c>
      <c r="AA5" s="25">
        <v>45983</v>
      </c>
      <c r="AB5" s="25">
        <v>45984</v>
      </c>
      <c r="AC5" s="25">
        <v>45985</v>
      </c>
      <c r="AD5" s="25">
        <v>45986</v>
      </c>
      <c r="AE5" s="25">
        <v>45987</v>
      </c>
      <c r="AF5" s="25">
        <v>45988</v>
      </c>
      <c r="AG5" s="25">
        <v>45989</v>
      </c>
      <c r="AH5" s="25">
        <v>45990</v>
      </c>
      <c r="AI5" s="25">
        <v>45991</v>
      </c>
      <c r="AJ5" s="25">
        <v>45961</v>
      </c>
      <c r="AK5" s="25">
        <v>45962</v>
      </c>
      <c r="AL5" s="25">
        <v>45963</v>
      </c>
    </row>
    <row r="6" spans="1:38" x14ac:dyDescent="0.35">
      <c r="A6" s="10" t="s">
        <v>5</v>
      </c>
      <c r="B6" s="3"/>
      <c r="C6" s="2">
        <v>100000</v>
      </c>
      <c r="D6" s="7">
        <f>SUM(C6/24)</f>
        <v>4166.666666666667</v>
      </c>
      <c r="E6" s="7">
        <f>SUM(F6:AJ6)</f>
        <v>82745</v>
      </c>
      <c r="F6" s="6">
        <v>3370</v>
      </c>
      <c r="G6" s="43"/>
      <c r="H6" s="20">
        <v>2540</v>
      </c>
      <c r="I6" s="30">
        <v>5550</v>
      </c>
      <c r="J6" s="6">
        <v>1185</v>
      </c>
      <c r="K6" s="12">
        <v>1940</v>
      </c>
      <c r="L6" s="12">
        <v>1320</v>
      </c>
      <c r="M6" s="11">
        <v>1180</v>
      </c>
      <c r="N6" s="34"/>
      <c r="O6" s="12">
        <v>1370</v>
      </c>
      <c r="P6" s="12">
        <v>750</v>
      </c>
      <c r="Q6" s="6">
        <v>9555</v>
      </c>
      <c r="R6" s="12">
        <v>3090</v>
      </c>
      <c r="S6" s="12">
        <v>2325</v>
      </c>
      <c r="T6" s="45"/>
      <c r="U6" s="34"/>
      <c r="V6" s="12">
        <v>4595</v>
      </c>
      <c r="W6" s="12">
        <v>4045</v>
      </c>
      <c r="X6" s="12">
        <v>6225</v>
      </c>
      <c r="Y6" s="45"/>
      <c r="Z6" s="12">
        <v>4510</v>
      </c>
      <c r="AA6" s="12"/>
      <c r="AB6" s="34"/>
      <c r="AC6" s="12">
        <v>4290</v>
      </c>
      <c r="AD6" s="6">
        <v>6005</v>
      </c>
      <c r="AE6" s="6">
        <v>2575</v>
      </c>
      <c r="AF6" s="6">
        <v>3775</v>
      </c>
      <c r="AG6" s="6">
        <v>6665</v>
      </c>
      <c r="AH6" s="6">
        <v>5885</v>
      </c>
      <c r="AI6" s="38"/>
      <c r="AJ6" s="6"/>
      <c r="AK6" s="6"/>
      <c r="AL6" s="6"/>
    </row>
    <row r="7" spans="1:38" x14ac:dyDescent="0.35">
      <c r="A7" s="10" t="s">
        <v>4</v>
      </c>
      <c r="B7" s="3"/>
      <c r="C7" s="2">
        <v>58000</v>
      </c>
      <c r="D7" s="7">
        <f t="shared" ref="D7:D9" si="0">SUM(C7/24)</f>
        <v>2416.6666666666665</v>
      </c>
      <c r="E7" s="7">
        <f>SUM(F7:AK7)</f>
        <v>44104.770000000004</v>
      </c>
      <c r="F7" s="6">
        <v>1600</v>
      </c>
      <c r="G7" s="43"/>
      <c r="H7" s="20">
        <v>1470</v>
      </c>
      <c r="I7" s="31">
        <v>2580</v>
      </c>
      <c r="J7" s="20">
        <v>80</v>
      </c>
      <c r="K7" s="13">
        <v>1030</v>
      </c>
      <c r="L7" s="13">
        <v>380</v>
      </c>
      <c r="M7" s="11">
        <v>1180</v>
      </c>
      <c r="N7" s="35"/>
      <c r="O7" s="13">
        <v>570</v>
      </c>
      <c r="P7" s="13">
        <v>210</v>
      </c>
      <c r="Q7" s="20">
        <v>1210</v>
      </c>
      <c r="R7" s="13">
        <v>2040</v>
      </c>
      <c r="S7" s="13">
        <v>1705</v>
      </c>
      <c r="T7" s="46"/>
      <c r="U7" s="35"/>
      <c r="V7" s="13">
        <v>1165</v>
      </c>
      <c r="W7" s="13">
        <v>4509.7700000000004</v>
      </c>
      <c r="X7" s="13">
        <v>3860</v>
      </c>
      <c r="Y7" s="46">
        <v>3850</v>
      </c>
      <c r="Z7" s="13">
        <v>660</v>
      </c>
      <c r="AA7" s="13"/>
      <c r="AB7" s="35"/>
      <c r="AC7" s="13">
        <v>3480</v>
      </c>
      <c r="AD7" s="20">
        <v>2245</v>
      </c>
      <c r="AE7" s="20">
        <v>1240</v>
      </c>
      <c r="AF7" s="20">
        <v>3120</v>
      </c>
      <c r="AG7" s="20">
        <v>3385</v>
      </c>
      <c r="AH7" s="20">
        <v>2535</v>
      </c>
      <c r="AI7" s="39"/>
      <c r="AJ7" s="20"/>
      <c r="AK7" s="20"/>
      <c r="AL7" s="20"/>
    </row>
    <row r="8" spans="1:38" x14ac:dyDescent="0.35">
      <c r="A8" s="4" t="s">
        <v>9</v>
      </c>
      <c r="C8" s="2">
        <v>33127.160000000003</v>
      </c>
      <c r="D8" s="7">
        <f t="shared" si="0"/>
        <v>1380.2983333333334</v>
      </c>
      <c r="E8" s="7">
        <f>SUM(F8:AK8)</f>
        <v>19116.150000000001</v>
      </c>
      <c r="F8" s="6">
        <v>251</v>
      </c>
      <c r="G8" s="43"/>
      <c r="H8" s="20">
        <v>1112.5</v>
      </c>
      <c r="I8" s="32">
        <v>500</v>
      </c>
      <c r="J8" s="20">
        <v>1560.42</v>
      </c>
      <c r="K8" s="13">
        <v>888.75</v>
      </c>
      <c r="L8" s="13">
        <v>887.5</v>
      </c>
      <c r="M8" s="11">
        <v>638.34</v>
      </c>
      <c r="N8" s="35"/>
      <c r="O8" s="13">
        <v>1075</v>
      </c>
      <c r="P8" s="13">
        <v>840</v>
      </c>
      <c r="Q8" s="5">
        <v>210</v>
      </c>
      <c r="R8" s="13">
        <v>573.32000000000005</v>
      </c>
      <c r="S8" s="13">
        <v>812.5</v>
      </c>
      <c r="T8" s="46"/>
      <c r="U8" s="35"/>
      <c r="V8" s="13"/>
      <c r="W8" s="13">
        <v>565</v>
      </c>
      <c r="X8" s="13">
        <v>1325</v>
      </c>
      <c r="Y8" s="46"/>
      <c r="Z8" s="13"/>
      <c r="AA8" s="13">
        <v>225</v>
      </c>
      <c r="AB8" s="35"/>
      <c r="AC8" s="13">
        <v>1021.66</v>
      </c>
      <c r="AD8" s="20">
        <v>800</v>
      </c>
      <c r="AE8" s="5">
        <v>130</v>
      </c>
      <c r="AF8" s="21">
        <v>883.34</v>
      </c>
      <c r="AG8" s="21">
        <v>1966.82</v>
      </c>
      <c r="AH8" s="21">
        <v>2850</v>
      </c>
      <c r="AI8" s="40"/>
      <c r="AJ8" s="21"/>
      <c r="AK8" s="21"/>
      <c r="AL8" s="21"/>
    </row>
    <row r="9" spans="1:38" x14ac:dyDescent="0.35">
      <c r="A9" s="10" t="s">
        <v>6</v>
      </c>
      <c r="C9" s="2">
        <v>16670</v>
      </c>
      <c r="D9" s="7">
        <f t="shared" si="0"/>
        <v>694.58333333333337</v>
      </c>
      <c r="E9" s="7">
        <f>SUM(F9:AK9)</f>
        <v>13425.23</v>
      </c>
      <c r="F9" s="6">
        <v>630</v>
      </c>
      <c r="G9" s="43"/>
      <c r="H9" s="20">
        <v>1070</v>
      </c>
      <c r="I9" s="31">
        <v>450</v>
      </c>
      <c r="J9" s="20">
        <v>1105</v>
      </c>
      <c r="K9" s="13">
        <v>720</v>
      </c>
      <c r="L9" s="13">
        <v>90</v>
      </c>
      <c r="M9" s="11"/>
      <c r="N9" s="35"/>
      <c r="O9" s="13"/>
      <c r="P9" s="13">
        <v>540</v>
      </c>
      <c r="Q9" s="20">
        <v>745</v>
      </c>
      <c r="R9" s="13">
        <v>890</v>
      </c>
      <c r="S9" s="13">
        <v>720</v>
      </c>
      <c r="T9" s="46"/>
      <c r="U9" s="35"/>
      <c r="V9" s="13">
        <v>640</v>
      </c>
      <c r="W9" s="13">
        <v>690.23</v>
      </c>
      <c r="X9" s="13">
        <v>655</v>
      </c>
      <c r="Y9" s="46"/>
      <c r="Z9" s="13"/>
      <c r="AA9" s="29"/>
      <c r="AB9" s="35"/>
      <c r="AC9" s="13">
        <v>810</v>
      </c>
      <c r="AD9" s="20">
        <v>900</v>
      </c>
      <c r="AE9" s="21">
        <v>295</v>
      </c>
      <c r="AF9" s="20">
        <v>395</v>
      </c>
      <c r="AG9" s="20">
        <v>730</v>
      </c>
      <c r="AH9" s="21">
        <v>1350</v>
      </c>
      <c r="AI9" s="39"/>
      <c r="AJ9" s="20"/>
      <c r="AK9" s="20"/>
      <c r="AL9" s="20"/>
    </row>
    <row r="10" spans="1:38" x14ac:dyDescent="0.35">
      <c r="A10" s="10"/>
      <c r="C10" s="2"/>
      <c r="D10" s="7">
        <f t="shared" ref="D10" si="1">SUM(C10/25)</f>
        <v>0</v>
      </c>
      <c r="E10" s="7">
        <f>SUM(F10:AJ10)</f>
        <v>0</v>
      </c>
      <c r="F10" s="6"/>
      <c r="G10" s="43"/>
      <c r="H10" s="5"/>
      <c r="I10" s="31"/>
      <c r="J10" s="5"/>
      <c r="K10" s="13"/>
      <c r="L10" s="13"/>
      <c r="M10" s="11"/>
      <c r="N10" s="35"/>
      <c r="O10" s="13"/>
      <c r="P10" s="13"/>
      <c r="Q10" s="5"/>
      <c r="R10" s="13"/>
      <c r="S10" s="13"/>
      <c r="T10" s="46"/>
      <c r="U10" s="35"/>
      <c r="V10" s="13"/>
      <c r="W10" s="13"/>
      <c r="X10" s="13"/>
      <c r="Y10" s="46"/>
      <c r="Z10" s="13"/>
      <c r="AA10" s="13"/>
      <c r="AB10" s="35"/>
      <c r="AC10" s="13"/>
      <c r="AD10" s="5"/>
      <c r="AE10" s="5"/>
      <c r="AF10" s="5"/>
      <c r="AG10" s="5"/>
      <c r="AH10" s="5"/>
      <c r="AI10" s="40"/>
      <c r="AJ10" s="21"/>
      <c r="AK10" s="21"/>
      <c r="AL10" s="21"/>
    </row>
    <row r="11" spans="1:38" x14ac:dyDescent="0.35">
      <c r="A11" s="22" t="s">
        <v>0</v>
      </c>
      <c r="B11" s="24"/>
      <c r="C11" s="24"/>
      <c r="D11" s="24" t="s">
        <v>3</v>
      </c>
      <c r="E11" s="24" t="s">
        <v>8</v>
      </c>
      <c r="F11" s="25"/>
      <c r="G11" s="36"/>
      <c r="H11" s="25"/>
      <c r="I11" s="25"/>
      <c r="J11" s="25"/>
      <c r="K11" s="25"/>
      <c r="L11" s="25"/>
      <c r="M11" s="25"/>
      <c r="N11" s="36"/>
      <c r="O11" s="25"/>
      <c r="P11" s="25"/>
      <c r="Q11" s="25"/>
      <c r="R11" s="25"/>
      <c r="S11" s="25"/>
      <c r="T11" s="47"/>
      <c r="U11" s="36"/>
      <c r="V11" s="25"/>
      <c r="W11" s="25"/>
      <c r="X11" s="25"/>
      <c r="Y11" s="47"/>
      <c r="Z11" s="25"/>
      <c r="AA11" s="25"/>
      <c r="AB11" s="36"/>
      <c r="AC11" s="25"/>
      <c r="AD11" s="25"/>
      <c r="AE11" s="25"/>
      <c r="AF11" s="25"/>
      <c r="AG11" s="25"/>
      <c r="AH11" s="25"/>
      <c r="AI11" s="36"/>
      <c r="AJ11" s="25"/>
      <c r="AK11" s="25"/>
      <c r="AL11" s="25"/>
    </row>
    <row r="12" spans="1:38" x14ac:dyDescent="0.35">
      <c r="A12" s="4" t="s">
        <v>1</v>
      </c>
      <c r="B12" s="7"/>
      <c r="C12" s="2"/>
      <c r="D12" s="7">
        <f>SUM(C12/23)</f>
        <v>0</v>
      </c>
      <c r="E12" s="7">
        <f>SUM(F12:AG12)</f>
        <v>0</v>
      </c>
      <c r="F12" s="5"/>
      <c r="G12" s="44"/>
      <c r="H12" s="41"/>
      <c r="I12" s="33"/>
      <c r="J12" s="5"/>
      <c r="K12" s="5"/>
      <c r="L12" s="5"/>
      <c r="M12" s="11"/>
      <c r="N12" s="37"/>
      <c r="O12" s="5"/>
      <c r="P12" s="5"/>
      <c r="Q12" s="5"/>
      <c r="R12" s="5"/>
      <c r="S12" s="5"/>
      <c r="T12" s="48"/>
      <c r="U12" s="37"/>
      <c r="V12" s="5"/>
      <c r="W12" s="5"/>
      <c r="X12" s="5"/>
      <c r="Y12" s="48"/>
      <c r="Z12" s="5"/>
      <c r="AA12" s="5"/>
      <c r="AB12" s="37"/>
      <c r="AC12" s="5"/>
      <c r="AD12" s="5"/>
      <c r="AE12" s="5"/>
      <c r="AF12" s="5"/>
      <c r="AG12" s="5"/>
      <c r="AH12" s="5"/>
      <c r="AI12" s="37"/>
      <c r="AJ12" s="5"/>
      <c r="AK12" s="5"/>
      <c r="AL12" s="5"/>
    </row>
    <row r="13" spans="1:38" x14ac:dyDescent="0.35">
      <c r="A13" s="4"/>
      <c r="B13" s="7"/>
      <c r="C13" s="2"/>
      <c r="D13" s="7">
        <f>SUM(C13/23)</f>
        <v>0</v>
      </c>
      <c r="E13" s="7">
        <f>SUM(F13:AG13)</f>
        <v>0</v>
      </c>
      <c r="F13" s="5"/>
      <c r="G13" s="37"/>
      <c r="H13" s="42"/>
      <c r="I13" s="33"/>
      <c r="J13" s="5"/>
      <c r="K13" s="5"/>
      <c r="L13" s="5"/>
      <c r="M13" s="11"/>
      <c r="N13" s="37"/>
      <c r="O13" s="5"/>
      <c r="P13" s="20"/>
      <c r="Q13" s="5"/>
      <c r="R13" s="5"/>
      <c r="S13" s="5"/>
      <c r="T13" s="48"/>
      <c r="U13" s="37"/>
      <c r="V13" s="5"/>
      <c r="W13" s="5"/>
      <c r="X13" s="5"/>
      <c r="Y13" s="48"/>
      <c r="Z13" s="5"/>
      <c r="AA13" s="5"/>
      <c r="AB13" s="37"/>
      <c r="AC13" s="5"/>
      <c r="AD13" s="5"/>
      <c r="AE13" s="5"/>
      <c r="AF13" s="5"/>
      <c r="AG13" s="5"/>
      <c r="AH13" s="5"/>
      <c r="AI13" s="37"/>
      <c r="AJ13" s="5"/>
      <c r="AK13" s="5"/>
      <c r="AL13" s="5"/>
    </row>
    <row r="14" spans="1:38" x14ac:dyDescent="0.35">
      <c r="A14" s="4"/>
      <c r="B14" s="1"/>
      <c r="C14" s="1"/>
      <c r="D14" s="1"/>
      <c r="E14" s="1"/>
      <c r="F14" s="5"/>
      <c r="G14" s="37"/>
      <c r="H14" s="42"/>
      <c r="I14" s="33"/>
      <c r="J14" s="5"/>
      <c r="K14" s="5"/>
      <c r="L14" s="5"/>
      <c r="M14" s="11"/>
      <c r="N14" s="37"/>
      <c r="O14" s="5"/>
      <c r="P14" s="5"/>
      <c r="Q14" s="5"/>
      <c r="R14" s="5"/>
      <c r="S14" s="12"/>
      <c r="T14" s="48"/>
      <c r="U14" s="37"/>
      <c r="V14" s="5"/>
      <c r="W14" s="5"/>
      <c r="X14" s="5"/>
      <c r="Y14" s="48"/>
      <c r="Z14" s="5"/>
      <c r="AA14" s="5"/>
      <c r="AB14" s="37"/>
      <c r="AC14" s="5"/>
      <c r="AD14" s="5"/>
      <c r="AE14" s="5"/>
      <c r="AF14" s="5"/>
      <c r="AG14" s="5"/>
      <c r="AH14" s="5"/>
      <c r="AI14" s="37"/>
      <c r="AJ14" s="5"/>
      <c r="AK14" s="5"/>
      <c r="AL14" s="5"/>
    </row>
    <row r="15" spans="1:38" ht="15" thickBot="1" x14ac:dyDescent="0.4">
      <c r="A15" s="26" t="s">
        <v>7</v>
      </c>
      <c r="B15" s="27"/>
      <c r="C15" s="27" t="s">
        <v>2</v>
      </c>
      <c r="D15" s="27" t="s">
        <v>3</v>
      </c>
      <c r="E15" s="28">
        <f>SUM(E7:E14)</f>
        <v>76646.150000000009</v>
      </c>
      <c r="F15" s="8">
        <f>SUM(F14+F13+F12+F10+F9+F8+F7)</f>
        <v>2481</v>
      </c>
      <c r="G15" s="8">
        <f t="shared" ref="G15:AL15" si="2">SUM(G14+G13+G12+G10+G9+G8+G7)</f>
        <v>0</v>
      </c>
      <c r="H15" s="8">
        <f t="shared" si="2"/>
        <v>3652.5</v>
      </c>
      <c r="I15" s="8">
        <f t="shared" si="2"/>
        <v>3530</v>
      </c>
      <c r="J15" s="8">
        <f t="shared" si="2"/>
        <v>2745.42</v>
      </c>
      <c r="K15" s="8">
        <f t="shared" si="2"/>
        <v>2638.75</v>
      </c>
      <c r="L15" s="8">
        <f t="shared" si="2"/>
        <v>1357.5</v>
      </c>
      <c r="M15" s="8">
        <f t="shared" si="2"/>
        <v>1818.3400000000001</v>
      </c>
      <c r="N15" s="8">
        <f t="shared" si="2"/>
        <v>0</v>
      </c>
      <c r="O15" s="8">
        <f t="shared" si="2"/>
        <v>1645</v>
      </c>
      <c r="P15" s="8">
        <f t="shared" si="2"/>
        <v>1590</v>
      </c>
      <c r="Q15" s="8">
        <f t="shared" si="2"/>
        <v>2165</v>
      </c>
      <c r="R15" s="8">
        <f t="shared" si="2"/>
        <v>3503.32</v>
      </c>
      <c r="S15" s="8">
        <f t="shared" si="2"/>
        <v>3237.5</v>
      </c>
      <c r="T15" s="8">
        <f t="shared" si="2"/>
        <v>0</v>
      </c>
      <c r="U15" s="8">
        <f t="shared" si="2"/>
        <v>0</v>
      </c>
      <c r="V15" s="8">
        <f t="shared" si="2"/>
        <v>1805</v>
      </c>
      <c r="W15" s="8">
        <f t="shared" si="2"/>
        <v>5765</v>
      </c>
      <c r="X15" s="8">
        <f t="shared" si="2"/>
        <v>5840</v>
      </c>
      <c r="Y15" s="8">
        <f t="shared" si="2"/>
        <v>3850</v>
      </c>
      <c r="Z15" s="8">
        <f t="shared" si="2"/>
        <v>660</v>
      </c>
      <c r="AA15" s="8">
        <f t="shared" si="2"/>
        <v>225</v>
      </c>
      <c r="AB15" s="8">
        <f t="shared" si="2"/>
        <v>0</v>
      </c>
      <c r="AC15" s="8">
        <f t="shared" si="2"/>
        <v>5311.66</v>
      </c>
      <c r="AD15" s="8">
        <f t="shared" si="2"/>
        <v>3945</v>
      </c>
      <c r="AE15" s="8">
        <f t="shared" si="2"/>
        <v>1665</v>
      </c>
      <c r="AF15" s="8">
        <f t="shared" si="2"/>
        <v>4398.34</v>
      </c>
      <c r="AG15" s="8">
        <f t="shared" si="2"/>
        <v>6081.82</v>
      </c>
      <c r="AH15" s="8">
        <f t="shared" si="2"/>
        <v>6735</v>
      </c>
      <c r="AI15" s="8">
        <f t="shared" si="2"/>
        <v>0</v>
      </c>
      <c r="AJ15" s="8">
        <f t="shared" si="2"/>
        <v>0</v>
      </c>
      <c r="AK15" s="8">
        <f t="shared" si="2"/>
        <v>0</v>
      </c>
      <c r="AL15" s="8">
        <f t="shared" si="2"/>
        <v>0</v>
      </c>
    </row>
    <row r="16" spans="1:38" ht="15" thickTop="1" x14ac:dyDescent="0.35">
      <c r="A16" s="1"/>
      <c r="B16" s="1"/>
      <c r="C16" s="2">
        <f>SUM(C7:C13)</f>
        <v>107797.16</v>
      </c>
      <c r="D16" s="2">
        <f>SUM(D7:D13)</f>
        <v>4491.5483333333332</v>
      </c>
      <c r="E16" s="2">
        <f>SUM(E7:E13)</f>
        <v>76646.150000000009</v>
      </c>
      <c r="F16" s="9">
        <f t="shared" ref="F16:AL16" si="3">SUM(F15-$D$16)</f>
        <v>-2010.5483333333332</v>
      </c>
      <c r="G16" s="9">
        <f t="shared" si="3"/>
        <v>-4491.5483333333332</v>
      </c>
      <c r="H16" s="9">
        <f t="shared" si="3"/>
        <v>-839.04833333333318</v>
      </c>
      <c r="I16" s="9">
        <f t="shared" si="3"/>
        <v>-961.54833333333318</v>
      </c>
      <c r="J16" s="9">
        <f t="shared" si="3"/>
        <v>-1746.1283333333331</v>
      </c>
      <c r="K16" s="9">
        <f t="shared" si="3"/>
        <v>-1852.7983333333332</v>
      </c>
      <c r="L16" s="9">
        <f t="shared" si="3"/>
        <v>-3134.0483333333332</v>
      </c>
      <c r="M16" s="9">
        <f t="shared" si="3"/>
        <v>-2673.208333333333</v>
      </c>
      <c r="N16" s="9">
        <f t="shared" si="3"/>
        <v>-4491.5483333333332</v>
      </c>
      <c r="O16" s="9">
        <f t="shared" si="3"/>
        <v>-2846.5483333333332</v>
      </c>
      <c r="P16" s="9">
        <f t="shared" si="3"/>
        <v>-2901.5483333333332</v>
      </c>
      <c r="Q16" s="9">
        <f t="shared" si="3"/>
        <v>-2326.5483333333332</v>
      </c>
      <c r="R16" s="9">
        <f t="shared" si="3"/>
        <v>-988.22833333333301</v>
      </c>
      <c r="S16" s="9">
        <f t="shared" si="3"/>
        <v>-1254.0483333333332</v>
      </c>
      <c r="T16" s="9">
        <f t="shared" si="3"/>
        <v>-4491.5483333333332</v>
      </c>
      <c r="U16" s="9">
        <f t="shared" si="3"/>
        <v>-4491.5483333333332</v>
      </c>
      <c r="V16" s="9">
        <f t="shared" si="3"/>
        <v>-2686.5483333333332</v>
      </c>
      <c r="W16" s="9">
        <f t="shared" si="3"/>
        <v>1273.4516666666668</v>
      </c>
      <c r="X16" s="9">
        <f t="shared" si="3"/>
        <v>1348.4516666666668</v>
      </c>
      <c r="Y16" s="9">
        <f t="shared" si="3"/>
        <v>-641.54833333333318</v>
      </c>
      <c r="Z16" s="9">
        <f t="shared" si="3"/>
        <v>-3831.5483333333332</v>
      </c>
      <c r="AA16" s="9">
        <f t="shared" si="3"/>
        <v>-4266.5483333333332</v>
      </c>
      <c r="AB16" s="9">
        <f t="shared" si="3"/>
        <v>-4491.5483333333332</v>
      </c>
      <c r="AC16" s="9">
        <f t="shared" si="3"/>
        <v>820.11166666666668</v>
      </c>
      <c r="AD16" s="9">
        <f t="shared" si="3"/>
        <v>-546.54833333333318</v>
      </c>
      <c r="AE16" s="9">
        <f t="shared" si="3"/>
        <v>-2826.5483333333332</v>
      </c>
      <c r="AF16" s="9">
        <f t="shared" si="3"/>
        <v>-93.20833333333303</v>
      </c>
      <c r="AG16" s="9">
        <f t="shared" si="3"/>
        <v>1590.2716666666665</v>
      </c>
      <c r="AH16" s="9">
        <f t="shared" si="3"/>
        <v>2243.4516666666668</v>
      </c>
      <c r="AI16" s="9">
        <f t="shared" si="3"/>
        <v>-4491.5483333333332</v>
      </c>
      <c r="AJ16" s="9">
        <f t="shared" si="3"/>
        <v>-4491.5483333333332</v>
      </c>
      <c r="AK16" s="9">
        <f t="shared" si="3"/>
        <v>-4491.5483333333332</v>
      </c>
      <c r="AL16" s="9">
        <f t="shared" si="3"/>
        <v>-4491.5483333333332</v>
      </c>
    </row>
    <row r="17" spans="1:9" x14ac:dyDescent="0.35">
      <c r="A17" s="14" t="s">
        <v>13</v>
      </c>
      <c r="B17" s="15">
        <v>0.5</v>
      </c>
      <c r="C17" s="1"/>
      <c r="D17" s="1"/>
      <c r="E17" s="1"/>
    </row>
    <row r="18" spans="1:9" x14ac:dyDescent="0.35">
      <c r="A18" s="17" t="s">
        <v>10</v>
      </c>
      <c r="B18" s="18">
        <v>60</v>
      </c>
      <c r="C18" s="1"/>
      <c r="D18" s="1"/>
      <c r="E18" s="1"/>
    </row>
    <row r="19" spans="1:9" x14ac:dyDescent="0.35">
      <c r="A19" s="53"/>
      <c r="B19" s="53"/>
      <c r="C19" s="53"/>
    </row>
    <row r="20" spans="1:9" x14ac:dyDescent="0.35">
      <c r="A20" s="16" t="s">
        <v>11</v>
      </c>
      <c r="B20" s="14">
        <v>196</v>
      </c>
      <c r="C20" s="19"/>
      <c r="I20" s="8"/>
    </row>
    <row r="21" spans="1:9" x14ac:dyDescent="0.35">
      <c r="A21" s="16" t="s">
        <v>12</v>
      </c>
      <c r="B21" s="14">
        <v>9</v>
      </c>
      <c r="C21" s="19"/>
    </row>
    <row r="22" spans="1:9" x14ac:dyDescent="0.35">
      <c r="A22" s="16"/>
      <c r="B22" s="14"/>
      <c r="C22" s="19"/>
    </row>
    <row r="23" spans="1:9" x14ac:dyDescent="0.35">
      <c r="A23" s="16"/>
      <c r="B23" s="14"/>
      <c r="C23" s="19"/>
    </row>
    <row r="24" spans="1:9" x14ac:dyDescent="0.35">
      <c r="C24" s="2">
        <f>SUM(C20:C23)</f>
        <v>0</v>
      </c>
    </row>
  </sheetData>
  <mergeCells count="2">
    <mergeCell ref="A1:E4"/>
    <mergeCell ref="A19:C19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B003-ABA5-4C78-BAE0-ECC507DDE95E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Smylle Concept</cp:lastModifiedBy>
  <dcterms:created xsi:type="dcterms:W3CDTF">2020-11-23T04:45:51Z</dcterms:created>
  <dcterms:modified xsi:type="dcterms:W3CDTF">2025-12-01T19:15:57Z</dcterms:modified>
</cp:coreProperties>
</file>